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 of 60" sheetId="1" state="visible" r:id="rId3"/>
    <sheet name="Tax - Canada (2026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<sst xmlns="http://schemas.openxmlformats.org/spreadsheetml/2006/main" count="48" uniqueCount="44">
  <si>
    <t xml:space="preserve">Solopreneur scenario planner</t>
  </si>
  <si>
    <t xml:space="preserve">The Rule of 60 — tax read directly from the Tax - Canada (2026) sheet (no rate approximation)</t>
  </si>
  <si>
    <t xml:space="preserve">Inputs</t>
  </si>
  <si>
    <t xml:space="preserve">Output</t>
  </si>
  <si>
    <t xml:space="preserve">Monthly</t>
  </si>
  <si>
    <t xml:space="preserve">Yearly</t>
  </si>
  <si>
    <t xml:space="preserve">Hourly rate ($)</t>
  </si>
  <si>
    <t xml:space="preserve">Weekly revenue</t>
  </si>
  <si>
    <t xml:space="preserve">Hours per week</t>
  </si>
  <si>
    <t xml:space="preserve">Monthly revenue</t>
  </si>
  <si>
    <t xml:space="preserve">Weeks paid per year</t>
  </si>
  <si>
    <t xml:space="preserve">Annual revenue</t>
  </si>
  <si>
    <t xml:space="preserve">Health insurance ($ / month)</t>
  </si>
  <si>
    <t xml:space="preserve">Health insurance</t>
  </si>
  <si>
    <t xml:space="preserve">Other expenses ($ / month)</t>
  </si>
  <si>
    <t xml:space="preserve">Expenses</t>
  </si>
  <si>
    <t xml:space="preserve">Months paid per year</t>
  </si>
  <si>
    <t xml:space="preserve">Revenue less ins. &amp; exp.</t>
  </si>
  <si>
    <t xml:space="preserve">Federal tax (from tax sheet)</t>
  </si>
  <si>
    <t xml:space="preserve">Provincial tax (from tax sheet)</t>
  </si>
  <si>
    <t xml:space="preserve">Monthly take-home pay</t>
  </si>
  <si>
    <t xml:space="preserve">Federal + BC income tax (2026)</t>
  </si>
  <si>
    <t xml:space="preserve">Marginal brackets, computed from annual taxable income. Brackets and basic amounts are editable yellow cells. Links in References below.</t>
  </si>
  <si>
    <t xml:space="preserve">Taxable income ($) (= annual net)</t>
  </si>
  <si>
    <t xml:space="preserve">Lower ($)</t>
  </si>
  <si>
    <t xml:space="preserve">Upper ($)</t>
  </si>
  <si>
    <t xml:space="preserve">Rate</t>
  </si>
  <si>
    <t xml:space="preserve">Tax in bracket</t>
  </si>
  <si>
    <t xml:space="preserve">Federal tax (before credits)</t>
  </si>
  <si>
    <t xml:space="preserve">Less federal basic amount credit</t>
  </si>
  <si>
    <t xml:space="preserve">Federal tax payable</t>
  </si>
  <si>
    <t xml:space="preserve">BC tax (before credits)</t>
  </si>
  <si>
    <t xml:space="preserve">Federal effective rate</t>
  </si>
  <si>
    <t xml:space="preserve">Less BC basic amount credit</t>
  </si>
  <si>
    <t xml:space="preserve">BC tax payable</t>
  </si>
  <si>
    <t xml:space="preserve">BC effective rate</t>
  </si>
  <si>
    <t xml:space="preserve">Combined federal + BC tax</t>
  </si>
  <si>
    <t xml:space="preserve">Combined effective rate</t>
  </si>
  <si>
    <t xml:space="preserve">References</t>
  </si>
  <si>
    <t xml:space="preserve">Canada.ca 2026 federal rates &amp; brackets</t>
  </si>
  <si>
    <t xml:space="preserve">gov.bc.ca BC personal income tax rates</t>
  </si>
  <si>
    <t xml:space="preserve">TaxTips.ca BC 2026 &amp; 2025 rates / basic amounts</t>
  </si>
  <si>
    <t xml:space="preserve">WOWA.ca BC income tax calculator &amp; brackets</t>
  </si>
  <si>
    <t xml:space="preserve">Note: BC's 2026 Budget proposed raising the lowest provincial bracket from 5.06% to 5.6%. CPP is not included here; self-employed pay both halves.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</si>
</sst>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"/>
    <numFmt numFmtId="167" formatCode="0"/>
    <numFmt numFmtId="168" formatCode="0.00%"/>
    <numFmt numFmtId="169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1"/>
      <name val="Cambria"/>
      <family val="0"/>
      <charset val="1"/>
    </font>
    <font>
      <sz val="12"/>
      <color theme="10"/>
      <name val="Calibri"/>
      <family val="2"/>
      <charset val="1"/>
    </font>
    <font>
      <i val="true"/>
      <sz val="11"/>
      <color rgb="FF777777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EEEEEE"/>
        <bgColor rgb="FFFFF2CC"/>
      </patternFill>
    </fill>
    <fill>
      <patternFill patternType="solid">
        <fgColor rgb="FFFFF2CC"/>
        <bgColor rgb="FFEEEEEE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anada.ca/en/revenue-agency/services/tax/individuals/tax-rates-brackets/current-year.html" TargetMode="External"/><Relationship Id="rId2" Type="http://schemas.openxmlformats.org/officeDocument/2006/relationships/hyperlink" Target="https://www2.gov.bc.ca/gov/content/taxes/income-taxes/personal/tax-rates" TargetMode="External"/><Relationship Id="rId3" Type="http://schemas.openxmlformats.org/officeDocument/2006/relationships/hyperlink" Target="https://www.taxtips.ca/taxrates/bc.htm" TargetMode="External"/><Relationship Id="rId4" Type="http://schemas.openxmlformats.org/officeDocument/2006/relationships/hyperlink" Target="https://wowa.ca/bc-tax-calculato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4.73"/>
    <col collapsed="false" customWidth="true" hidden="false" outlineLevel="0" max="4" min="4" style="0" width="30"/>
    <col collapsed="false" customWidth="true" hidden="false" outlineLevel="0" max="6" min="5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3" t="s">
        <v>3</v>
      </c>
      <c r="E4" s="3" t="s">
        <v>4</v>
      </c>
      <c r="F4" s="3" t="s">
        <v>5</v>
      </c>
    </row>
    <row r="5" customFormat="false" ht="15" hidden="false" customHeight="false" outlineLevel="0" collapsed="false">
      <c r="A5" s="4" t="s">
        <v>6</v>
      </c>
      <c r="B5" s="5" t="n">
        <v>200</v>
      </c>
      <c r="C5" s="5"/>
      <c r="D5" s="4" t="s">
        <v>7</v>
      </c>
      <c r="E5" s="6" t="n">
        <f aca="false">B5*B6</f>
        <v>5000</v>
      </c>
      <c r="F5" s="6" t="n">
        <f aca="false">B5*B6</f>
        <v>5000</v>
      </c>
    </row>
    <row r="6" customFormat="false" ht="15" hidden="false" customHeight="false" outlineLevel="0" collapsed="false">
      <c r="A6" s="4" t="s">
        <v>8</v>
      </c>
      <c r="B6" s="7" t="n">
        <v>25</v>
      </c>
      <c r="C6" s="7"/>
      <c r="D6" s="4" t="s">
        <v>9</v>
      </c>
      <c r="E6" s="6" t="n">
        <f aca="false">E5*4</f>
        <v>20000</v>
      </c>
      <c r="F6" s="6" t="n">
        <f aca="false">F5*4</f>
        <v>20000</v>
      </c>
    </row>
    <row r="7" customFormat="false" ht="15" hidden="false" customHeight="false" outlineLevel="0" collapsed="false">
      <c r="A7" s="4" t="s">
        <v>10</v>
      </c>
      <c r="B7" s="7" t="n">
        <v>48</v>
      </c>
      <c r="C7" s="7"/>
      <c r="D7" s="4" t="s">
        <v>11</v>
      </c>
      <c r="F7" s="6" t="n">
        <f aca="false">F5*B7</f>
        <v>240000</v>
      </c>
    </row>
    <row r="8" customFormat="false" ht="15" hidden="false" customHeight="false" outlineLevel="0" collapsed="false">
      <c r="A8" s="4" t="s">
        <v>12</v>
      </c>
      <c r="B8" s="6" t="n">
        <v>1500</v>
      </c>
      <c r="C8" s="6"/>
      <c r="D8" s="4" t="s">
        <v>13</v>
      </c>
      <c r="E8" s="6" t="n">
        <f aca="false">B8</f>
        <v>1500</v>
      </c>
      <c r="F8" s="6" t="n">
        <f aca="false">B8*B10</f>
        <v>18000</v>
      </c>
    </row>
    <row r="9" customFormat="false" ht="15" hidden="false" customHeight="false" outlineLevel="0" collapsed="false">
      <c r="A9" s="4" t="s">
        <v>14</v>
      </c>
      <c r="B9" s="6" t="n">
        <v>750</v>
      </c>
      <c r="C9" s="6"/>
      <c r="D9" s="4" t="s">
        <v>15</v>
      </c>
      <c r="E9" s="6" t="n">
        <f aca="false">B9</f>
        <v>750</v>
      </c>
      <c r="F9" s="6" t="n">
        <f aca="false">B9*B10</f>
        <v>9000</v>
      </c>
    </row>
    <row r="10" customFormat="false" ht="15" hidden="false" customHeight="false" outlineLevel="0" collapsed="false">
      <c r="A10" s="4" t="s">
        <v>16</v>
      </c>
      <c r="B10" s="7" t="n">
        <f aca="false">B7/4</f>
        <v>12</v>
      </c>
      <c r="C10" s="7"/>
      <c r="D10" s="4" t="s">
        <v>17</v>
      </c>
      <c r="E10" s="6" t="n">
        <f aca="false">E6-E8-E9</f>
        <v>17750</v>
      </c>
      <c r="F10" s="6" t="n">
        <f aca="false">F7-F8-F9</f>
        <v>213000</v>
      </c>
    </row>
    <row r="11" customFormat="false" ht="15" hidden="false" customHeight="false" outlineLevel="0" collapsed="false">
      <c r="D11" s="4" t="s">
        <v>18</v>
      </c>
      <c r="E11" s="6" t="n">
        <f aca="false">'Tax - Canada (2026)'!D12/12</f>
        <v>3648.5275</v>
      </c>
      <c r="F11" s="6" t="n">
        <f aca="false">'Tax - Canada (2026)'!D12</f>
        <v>43782.33</v>
      </c>
    </row>
    <row r="12" customFormat="false" ht="15" hidden="false" customHeight="false" outlineLevel="0" collapsed="false">
      <c r="D12" s="4" t="s">
        <v>19</v>
      </c>
      <c r="E12" s="6" t="n">
        <f aca="false">'Tax - Canada (2026)'!I14/12</f>
        <v>1792.67213333333</v>
      </c>
      <c r="F12" s="6" t="n">
        <f aca="false">'Tax - Canada (2026)'!I14</f>
        <v>21512.0656</v>
      </c>
    </row>
    <row r="13" customFormat="false" ht="15" hidden="false" customHeight="false" outlineLevel="0" collapsed="false">
      <c r="D13" s="4" t="s">
        <v>20</v>
      </c>
      <c r="E13" s="6" t="n">
        <f aca="false">E10-E11-E12</f>
        <v>12308.8003666667</v>
      </c>
      <c r="F13" s="6" t="n">
        <f aca="false">ROUND((F10-F11-F12)/12,0)</f>
        <v>12309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5"/>
    <col collapsed="false" customWidth="true" hidden="false" outlineLevel="0" max="8" min="8" style="0" width="8"/>
    <col collapsed="false" customWidth="true" hidden="false" outlineLevel="0" max="9" min="9" style="0" width="15"/>
  </cols>
  <sheetData>
    <row r="1" customFormat="false" ht="17.35" hidden="false" customHeight="false" outlineLevel="0" collapsed="false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22</v>
      </c>
      <c r="B2" s="9"/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D3" s="10" t="s">
        <v>23</v>
      </c>
      <c r="E3" s="11" t="n">
        <f aca="false">'Rule of 60'!F10</f>
        <v>213000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F4" s="3" t="s">
        <v>24</v>
      </c>
      <c r="G4" s="3" t="s">
        <v>25</v>
      </c>
      <c r="H4" s="3" t="s">
        <v>26</v>
      </c>
      <c r="I4" s="3" t="s">
        <v>27</v>
      </c>
    </row>
    <row r="5" customFormat="false" ht="15" hidden="false" customHeight="false" outlineLevel="0" collapsed="false">
      <c r="A5" s="7" t="n">
        <v>0</v>
      </c>
      <c r="B5" s="7" t="n">
        <v>58523</v>
      </c>
      <c r="C5" s="12" t="n">
        <v>0.14</v>
      </c>
      <c r="D5" s="6" t="n">
        <f aca="false">MAX(0,MIN($E$3,B5)-A5)*C5</f>
        <v>8193.22</v>
      </c>
      <c r="F5" s="7" t="n">
        <v>0</v>
      </c>
      <c r="G5" s="7" t="n">
        <v>50363</v>
      </c>
      <c r="H5" s="12" t="n">
        <v>0.0506</v>
      </c>
      <c r="I5" s="6" t="n">
        <f aca="false">MAX(0,MIN($E$3,G5)-F5)*H5</f>
        <v>2548.3678</v>
      </c>
    </row>
    <row r="6" customFormat="false" ht="15" hidden="false" customHeight="false" outlineLevel="0" collapsed="false">
      <c r="A6" s="7" t="n">
        <v>58523</v>
      </c>
      <c r="B6" s="7" t="n">
        <v>117045</v>
      </c>
      <c r="C6" s="12" t="n">
        <v>0.205</v>
      </c>
      <c r="D6" s="6" t="n">
        <f aca="false">MAX(0,MIN($E$3,B6)-A6)*C6</f>
        <v>11997.01</v>
      </c>
      <c r="F6" s="7" t="n">
        <v>50363</v>
      </c>
      <c r="G6" s="7" t="n">
        <v>100728</v>
      </c>
      <c r="H6" s="12" t="n">
        <v>0.077</v>
      </c>
      <c r="I6" s="6" t="n">
        <f aca="false">MAX(0,MIN($E$3,G6)-F6)*H6</f>
        <v>3878.105</v>
      </c>
    </row>
    <row r="7" customFormat="false" ht="15" hidden="false" customHeight="false" outlineLevel="0" collapsed="false">
      <c r="A7" s="7" t="n">
        <v>117045</v>
      </c>
      <c r="B7" s="7" t="n">
        <v>181440</v>
      </c>
      <c r="C7" s="12" t="n">
        <v>0.26</v>
      </c>
      <c r="D7" s="6" t="n">
        <f aca="false">MAX(0,MIN($E$3,B7)-A7)*C7</f>
        <v>16742.7</v>
      </c>
      <c r="F7" s="7" t="n">
        <v>100728</v>
      </c>
      <c r="G7" s="7" t="n">
        <v>115648</v>
      </c>
      <c r="H7" s="12" t="n">
        <v>0.105</v>
      </c>
      <c r="I7" s="6" t="n">
        <f aca="false">MAX(0,MIN($E$3,G7)-F7)*H7</f>
        <v>1566.6</v>
      </c>
    </row>
    <row r="8" customFormat="false" ht="15" hidden="false" customHeight="false" outlineLevel="0" collapsed="false">
      <c r="A8" s="7" t="n">
        <v>181440</v>
      </c>
      <c r="B8" s="7" t="n">
        <v>258482</v>
      </c>
      <c r="C8" s="12" t="n">
        <v>0.29</v>
      </c>
      <c r="D8" s="6" t="n">
        <f aca="false">MAX(0,MIN($E$3,B8)-A8)*C8</f>
        <v>9152.4</v>
      </c>
      <c r="F8" s="7" t="n">
        <v>115648</v>
      </c>
      <c r="G8" s="7" t="n">
        <v>140430</v>
      </c>
      <c r="H8" s="12" t="n">
        <v>0.1229</v>
      </c>
      <c r="I8" s="6" t="n">
        <f aca="false">MAX(0,MIN($E$3,G8)-F8)*H8</f>
        <v>3045.7078</v>
      </c>
    </row>
    <row r="9" customFormat="false" ht="15" hidden="false" customHeight="false" outlineLevel="0" collapsed="false">
      <c r="A9" s="7" t="n">
        <v>258482</v>
      </c>
      <c r="B9" s="7" t="n">
        <v>3000000000</v>
      </c>
      <c r="C9" s="12" t="n">
        <v>0.33</v>
      </c>
      <c r="D9" s="6" t="n">
        <f aca="false">MAX(0,MIN($E$3,B9)-A9)*C9</f>
        <v>0</v>
      </c>
      <c r="F9" s="7" t="n">
        <v>140430</v>
      </c>
      <c r="G9" s="7" t="n">
        <v>190405</v>
      </c>
      <c r="H9" s="12" t="n">
        <v>0.147</v>
      </c>
      <c r="I9" s="6" t="n">
        <f aca="false">MAX(0,MIN($E$3,G9)-F9)*H9</f>
        <v>7346.325</v>
      </c>
    </row>
    <row r="10" customFormat="false" ht="15" hidden="false" customHeight="false" outlineLevel="0" collapsed="false">
      <c r="A10" s="4" t="s">
        <v>28</v>
      </c>
      <c r="D10" s="13" t="n">
        <f aca="false">SUM(D5:D9)</f>
        <v>46085.33</v>
      </c>
      <c r="F10" s="7" t="n">
        <v>190405</v>
      </c>
      <c r="G10" s="7" t="n">
        <v>265545</v>
      </c>
      <c r="H10" s="12" t="n">
        <v>0.168</v>
      </c>
      <c r="I10" s="6" t="n">
        <f aca="false">MAX(0,MIN($E$3,G10)-F10)*H10</f>
        <v>3795.96</v>
      </c>
    </row>
    <row r="11" customFormat="false" ht="15" hidden="false" customHeight="false" outlineLevel="0" collapsed="false">
      <c r="A11" s="14" t="s">
        <v>29</v>
      </c>
      <c r="B11" s="11" t="n">
        <v>16452</v>
      </c>
      <c r="D11" s="6" t="n">
        <f aca="false">-ROUND(B11*C5,0)</f>
        <v>-2303</v>
      </c>
      <c r="F11" s="7" t="n">
        <v>265545</v>
      </c>
      <c r="G11" s="7" t="n">
        <v>3000000000</v>
      </c>
      <c r="H11" s="12" t="n">
        <v>0.205</v>
      </c>
      <c r="I11" s="6" t="n">
        <f aca="false">MAX(0,MIN($E$3,G11)-F11)*H11</f>
        <v>0</v>
      </c>
    </row>
    <row r="12" customFormat="false" ht="15" hidden="false" customHeight="false" outlineLevel="0" collapsed="false">
      <c r="A12" s="4" t="s">
        <v>30</v>
      </c>
      <c r="D12" s="13" t="n">
        <f aca="false">D10+D11</f>
        <v>43782.33</v>
      </c>
      <c r="F12" s="4" t="s">
        <v>31</v>
      </c>
      <c r="I12" s="13" t="n">
        <f aca="false">SUM(I5:I11)</f>
        <v>22181.0656</v>
      </c>
    </row>
    <row r="13" customFormat="false" ht="15" hidden="false" customHeight="false" outlineLevel="0" collapsed="false">
      <c r="A13" s="14" t="s">
        <v>32</v>
      </c>
      <c r="D13" s="15" t="n">
        <f aca="false">D12/$E$3</f>
        <v>0.205550845070423</v>
      </c>
      <c r="F13" s="14" t="s">
        <v>33</v>
      </c>
      <c r="G13" s="11" t="n">
        <v>13216</v>
      </c>
      <c r="I13" s="6" t="n">
        <f aca="false">-ROUND(G13*H5,0)</f>
        <v>-669</v>
      </c>
    </row>
    <row r="14" customFormat="false" ht="15" hidden="false" customHeight="false" outlineLevel="0" collapsed="false">
      <c r="F14" s="4" t="s">
        <v>34</v>
      </c>
      <c r="I14" s="13" t="n">
        <f aca="false">I12+I13</f>
        <v>21512.0656</v>
      </c>
    </row>
    <row r="15" customFormat="false" ht="15" hidden="false" customHeight="false" outlineLevel="0" collapsed="false">
      <c r="F15" s="14" t="s">
        <v>35</v>
      </c>
      <c r="I15" s="15" t="n">
        <f aca="false">I14/$E$3</f>
        <v>0.10099561314554</v>
      </c>
    </row>
    <row r="17" customFormat="false" ht="15" hidden="false" customHeight="false" outlineLevel="0" collapsed="false">
      <c r="D17" s="4" t="s">
        <v>36</v>
      </c>
      <c r="E17" s="13" t="n">
        <f aca="false">D12+I14</f>
        <v>65294.3956</v>
      </c>
      <c r="F17" s="10" t="s">
        <v>37</v>
      </c>
      <c r="G17" s="15" t="n">
        <f aca="false">(D12+I14)/$E$3</f>
        <v>0.306546458215962</v>
      </c>
    </row>
    <row r="19" customFormat="false" ht="15" hidden="false" customHeight="false" outlineLevel="0" collapsed="false">
      <c r="A19" s="16" t="s">
        <v>38</v>
      </c>
      <c r="B19" s="16"/>
      <c r="C19" s="16"/>
      <c r="D19" s="16"/>
      <c r="E19" s="16"/>
      <c r="F19" s="16"/>
      <c r="G19" s="16"/>
      <c r="H19" s="16"/>
      <c r="I19" s="16"/>
      <c r="J19" s="16"/>
    </row>
    <row r="20" customFormat="false" ht="15" hidden="false" customHeight="false" outlineLevel="0" collapsed="false">
      <c r="A20" s="17" t="s">
        <v>39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17" t="s">
        <v>40</v>
      </c>
      <c r="B21" s="17"/>
      <c r="C21" s="17"/>
      <c r="D21" s="17"/>
      <c r="E21" s="17"/>
      <c r="F21" s="17"/>
      <c r="G21" s="17"/>
      <c r="H21" s="17"/>
      <c r="I21" s="17"/>
    </row>
    <row r="22" customFormat="false" ht="15" hidden="false" customHeight="false" outlineLevel="0" collapsed="false">
      <c r="A22" s="17" t="s">
        <v>41</v>
      </c>
      <c r="B22" s="17"/>
      <c r="C22" s="17"/>
      <c r="D22" s="17"/>
      <c r="E22" s="17"/>
      <c r="F22" s="17"/>
      <c r="G22" s="17"/>
      <c r="H22" s="17"/>
      <c r="I22" s="17"/>
    </row>
    <row r="23" customFormat="false" ht="15" hidden="false" customHeight="false" outlineLevel="0" collapsed="false">
      <c r="A23" s="17" t="s">
        <v>42</v>
      </c>
      <c r="B23" s="17"/>
      <c r="C23" s="17"/>
      <c r="D23" s="17"/>
      <c r="E23" s="17"/>
      <c r="F23" s="17"/>
      <c r="G23" s="17"/>
      <c r="H23" s="17"/>
      <c r="I23" s="17"/>
    </row>
    <row r="25" customFormat="false" ht="15" hidden="false" customHeight="false" outlineLevel="0" collapsed="false">
      <c r="A25" s="18" t="s">
        <v>43</v>
      </c>
      <c r="B25" s="18"/>
      <c r="C25" s="18"/>
      <c r="D25" s="18"/>
      <c r="E25" s="18"/>
      <c r="F25" s="18"/>
      <c r="G25" s="18"/>
      <c r="H25" s="18"/>
      <c r="I25" s="18"/>
    </row>
  </sheetData>
  <mergeCells count="8">
    <mergeCell ref="A1:J1"/>
    <mergeCell ref="A2:J2"/>
    <mergeCell ref="A19:J19"/>
    <mergeCell ref="A20:I20"/>
    <mergeCell ref="A21:I21"/>
    <mergeCell ref="A22:I22"/>
    <mergeCell ref="A23:I23"/>
    <mergeCell ref="A25:I25"/>
  </mergeCells>
  <hyperlinks>
    <hyperlink ref="A20" r:id="rId1" display="Canada.ca 2026 federal rates &amp; brackets"/>
    <hyperlink ref="A21" r:id="rId2" display="gov.bc.ca BC personal income tax rates"/>
    <hyperlink ref="A22" r:id="rId3" display="TaxTips.ca BC 2026 &amp; 2025 rates / basic amounts"/>
    <hyperlink ref="A23" r:id="rId4" display="WOWA.ca BC income tax calculator &amp; bracke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2026-08-04T18:34:57Z</dcterms:created>
  <dc:creator>openpyxl</dc:creator>
  <dc:description/>
  <dc:language>en-US</dc:language>
  <cp:lastModifiedBy/>
  <dcterms:modified xsi:type="dcterms:W3CDTF">2026-08-04T13:12:10Z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